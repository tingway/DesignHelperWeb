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Github\DesignHelper設計助手\template\"/>
    </mc:Choice>
  </mc:AlternateContent>
  <xr:revisionPtr revIDLastSave="0" documentId="13_ncr:1_{33165784-7050-40F4-8DEB-C05079AC1515}" xr6:coauthVersionLast="36" xr6:coauthVersionMax="36" xr10:uidLastSave="{00000000-0000-0000-0000-000000000000}"/>
  <bookViews>
    <workbookView xWindow="0" yWindow="0" windowWidth="21600" windowHeight="8820" xr2:uid="{5AD2F45F-EC87-463D-B35B-0B11A8D73EBF}"/>
  </bookViews>
  <sheets>
    <sheet name="P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 a="1"/>
  <c r="B29" i="1" s="1"/>
  <c r="D24" i="1" a="1"/>
  <c r="D24" i="1" s="1"/>
  <c r="C15" i="1" l="1"/>
  <c r="D15" i="1"/>
  <c r="E15" i="1"/>
  <c r="F15" i="1"/>
  <c r="C7" i="1"/>
  <c r="D7" i="1"/>
  <c r="E7" i="1"/>
  <c r="F7" i="1"/>
  <c r="G7" i="1"/>
  <c r="D6" i="1" l="1"/>
  <c r="E6" i="1"/>
  <c r="F6" i="1"/>
  <c r="G6" i="1"/>
  <c r="C6" i="1"/>
  <c r="B21" i="1" l="1"/>
  <c r="D26" i="1" l="1"/>
  <c r="D25" i="1" l="1"/>
  <c r="B28" i="1" l="1"/>
  <c r="B27" i="1"/>
  <c r="E25" i="1"/>
  <c r="C11" i="1"/>
  <c r="C12" i="1"/>
  <c r="C13" i="1" s="1"/>
  <c r="G15" i="1"/>
  <c r="C8" i="1" l="1"/>
  <c r="E24" i="1" l="1"/>
  <c r="D11" i="1"/>
  <c r="E11" i="1"/>
  <c r="F11" i="1"/>
  <c r="G11" i="1"/>
  <c r="G12" i="1"/>
  <c r="G13" i="1" s="1"/>
  <c r="F12" i="1"/>
  <c r="F13" i="1" s="1"/>
  <c r="D12" i="1"/>
  <c r="D13" i="1" s="1"/>
  <c r="E12" i="1"/>
  <c r="E13" i="1" s="1"/>
  <c r="G8" i="1" l="1"/>
  <c r="G9" i="1" l="1"/>
  <c r="F8" i="1"/>
  <c r="F9" i="1" s="1"/>
  <c r="E8" i="1" l="1"/>
  <c r="E9" i="1" s="1"/>
  <c r="D8" i="1" l="1"/>
  <c r="D9" i="1" s="1"/>
  <c r="C9" i="1" l="1"/>
</calcChain>
</file>

<file path=xl/sharedStrings.xml><?xml version="1.0" encoding="utf-8"?>
<sst xmlns="http://schemas.openxmlformats.org/spreadsheetml/2006/main" count="54" uniqueCount="48">
  <si>
    <t>既有洩水坡度</t>
    <phoneticPr fontId="1" type="noConversion"/>
  </si>
  <si>
    <t>設計洩水坡度</t>
    <phoneticPr fontId="1" type="noConversion"/>
  </si>
  <si>
    <t>圖面文字</t>
    <phoneticPr fontId="2" type="noConversion"/>
  </si>
  <si>
    <t>既有數值</t>
    <phoneticPr fontId="2" type="noConversion"/>
  </si>
  <si>
    <t>繪圖數值</t>
    <phoneticPr fontId="2" type="noConversion"/>
  </si>
  <si>
    <t>平均深</t>
    <phoneticPr fontId="1" type="noConversion"/>
  </si>
  <si>
    <t>輸入值</t>
    <phoneticPr fontId="2" type="noConversion"/>
  </si>
  <si>
    <t>編號</t>
    <phoneticPr fontId="2" type="noConversion"/>
  </si>
  <si>
    <t>里程</t>
    <phoneticPr fontId="2" type="noConversion"/>
  </si>
  <si>
    <t>地面高程</t>
    <phoneticPr fontId="2" type="noConversion"/>
  </si>
  <si>
    <t>起始高程(m)</t>
    <phoneticPr fontId="2" type="noConversion"/>
  </si>
  <si>
    <t>垂直</t>
    <phoneticPr fontId="2" type="noConversion"/>
  </si>
  <si>
    <t>頂板厚度</t>
    <phoneticPr fontId="2" type="noConversion"/>
  </si>
  <si>
    <t>水平</t>
    <phoneticPr fontId="2" type="noConversion"/>
  </si>
  <si>
    <t>建議使用比例尺</t>
    <phoneticPr fontId="1" type="noConversion"/>
  </si>
  <si>
    <t>&lt;5M</t>
    <phoneticPr fontId="1" type="noConversion"/>
  </si>
  <si>
    <t>&lt;10M</t>
    <phoneticPr fontId="1" type="noConversion"/>
  </si>
  <si>
    <t>&lt;20M</t>
    <phoneticPr fontId="1" type="noConversion"/>
  </si>
  <si>
    <t>&lt;50M</t>
    <phoneticPr fontId="1" type="noConversion"/>
  </si>
  <si>
    <t>&lt;15M</t>
    <phoneticPr fontId="1" type="noConversion"/>
  </si>
  <si>
    <t>&lt;30M</t>
    <phoneticPr fontId="1" type="noConversion"/>
  </si>
  <si>
    <t>&lt;60M</t>
    <phoneticPr fontId="1" type="noConversion"/>
  </si>
  <si>
    <t>&lt;150M</t>
    <phoneticPr fontId="1" type="noConversion"/>
  </si>
  <si>
    <t>1:50</t>
    <phoneticPr fontId="1" type="noConversion"/>
  </si>
  <si>
    <t>1:100</t>
    <phoneticPr fontId="1" type="noConversion"/>
  </si>
  <si>
    <t>1:200</t>
    <phoneticPr fontId="1" type="noConversion"/>
  </si>
  <si>
    <t>1:500</t>
    <phoneticPr fontId="1" type="noConversion"/>
  </si>
  <si>
    <t>1:1000</t>
    <phoneticPr fontId="1" type="noConversion"/>
  </si>
  <si>
    <t>&gt;50M</t>
    <phoneticPr fontId="1" type="noConversion"/>
  </si>
  <si>
    <t>&gt;150M</t>
    <phoneticPr fontId="1" type="noConversion"/>
  </si>
  <si>
    <t>量測數值</t>
    <phoneticPr fontId="2" type="noConversion"/>
  </si>
  <si>
    <t>地面高程(m)</t>
    <phoneticPr fontId="2" type="noConversion"/>
  </si>
  <si>
    <t>總深(cm)</t>
    <phoneticPr fontId="2" type="noConversion"/>
  </si>
  <si>
    <t>地面高程(unit)</t>
    <phoneticPr fontId="2" type="noConversion"/>
  </si>
  <si>
    <t>既有底高(unit)</t>
    <phoneticPr fontId="2" type="noConversion"/>
  </si>
  <si>
    <t>設計底高(unit)</t>
    <phoneticPr fontId="2" type="noConversion"/>
  </si>
  <si>
    <t>設計底高(m)</t>
    <phoneticPr fontId="2" type="noConversion"/>
  </si>
  <si>
    <t>設計淨深(m)</t>
    <phoneticPr fontId="2" type="noConversion"/>
  </si>
  <si>
    <t>既有底高(m)</t>
    <phoneticPr fontId="2" type="noConversion"/>
  </si>
  <si>
    <t>既有淨深(m)</t>
    <phoneticPr fontId="2" type="noConversion"/>
  </si>
  <si>
    <t>1/50</t>
  </si>
  <si>
    <t>1/200</t>
  </si>
  <si>
    <t>基準點 量測數值(cm)</t>
    <phoneticPr fontId="2" type="noConversion"/>
  </si>
  <si>
    <t>基準點 對應高程(m)</t>
    <phoneticPr fontId="2" type="noConversion"/>
  </si>
  <si>
    <t>(RTK不用輸入基準點)</t>
    <phoneticPr fontId="1" type="noConversion"/>
  </si>
  <si>
    <t>高差(m)</t>
    <phoneticPr fontId="2" type="noConversion"/>
  </si>
  <si>
    <t>總長(m)</t>
    <phoneticPr fontId="1" type="noConversion"/>
  </si>
  <si>
    <t>繪圖參數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</si>
</sst>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20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2" fontId="3" fillId="3" borderId="0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7EEE-15CB-45AF-A103-CBC595702B64}">
  <dimension ref="A1:N33"/>
  <sheetViews>
    <sheetView tabSelected="1" workbookViewId="0">
      <selection activeCell="A16" sqref="A16"/>
    </sheetView>
  </sheetViews>
  <sheetFormatPr defaultColWidth="12.625" defaultRowHeight="16.5"/>
  <cols>
    <col min="1" max="1" width="16.75" style="1" bestFit="1" customWidth="1"/>
    <col min="2" max="2" width="19.125" style="1" bestFit="1" customWidth="1"/>
    <col min="3" max="3" width="16" style="1" bestFit="1" customWidth="1"/>
    <col min="4" max="5" width="17.25" style="1" bestFit="1" customWidth="1"/>
    <col min="6" max="6" width="12.375" style="1" bestFit="1" customWidth="1"/>
    <col min="7" max="8" width="13.875" style="1" bestFit="1" customWidth="1"/>
    <col min="9" max="10" width="12.625" style="1"/>
    <col min="11" max="11" width="9.875" style="1" customWidth="1"/>
    <col min="12" max="12" width="19.375" style="1" bestFit="1" customWidth="1"/>
    <col min="13" max="16384" width="12.625" style="1"/>
  </cols>
  <sheetData>
    <row r="1" spans="1:11">
      <c r="B1" s="1" t="s">
        <v>7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11" s="14" customFormat="1">
      <c r="A2" s="1" t="s">
        <v>30</v>
      </c>
      <c r="B2" s="1" t="s">
        <v>8</v>
      </c>
      <c r="C2" s="14">
        <v>0</v>
      </c>
      <c r="D2" s="14">
        <v>5</v>
      </c>
      <c r="E2" s="14">
        <v>10</v>
      </c>
      <c r="F2" s="14">
        <v>15</v>
      </c>
      <c r="G2" s="14">
        <v>20</v>
      </c>
    </row>
    <row r="3" spans="1:11" s="14" customFormat="1">
      <c r="A3" s="1"/>
      <c r="B3" s="1" t="s">
        <v>9</v>
      </c>
      <c r="C3" s="14">
        <v>31</v>
      </c>
      <c r="D3" s="14">
        <v>32</v>
      </c>
      <c r="E3" s="14">
        <v>33</v>
      </c>
      <c r="F3" s="14">
        <v>34</v>
      </c>
      <c r="G3" s="14">
        <v>35</v>
      </c>
    </row>
    <row r="4" spans="1:11" s="14" customFormat="1">
      <c r="A4" s="1"/>
      <c r="B4" s="1" t="s">
        <v>32</v>
      </c>
      <c r="C4" s="15">
        <v>40</v>
      </c>
      <c r="D4" s="15">
        <v>40</v>
      </c>
      <c r="E4" s="15">
        <v>40</v>
      </c>
      <c r="F4" s="15">
        <v>40</v>
      </c>
      <c r="G4" s="15">
        <v>40</v>
      </c>
      <c r="H4" s="15"/>
      <c r="I4" s="15"/>
    </row>
    <row r="6" spans="1:11">
      <c r="A6" s="1" t="s">
        <v>2</v>
      </c>
      <c r="B6" s="1" t="s">
        <v>31</v>
      </c>
      <c r="C6" s="2">
        <f>IF($B$18="",C3, $B$19+($B$18-C3)/100)</f>
        <v>31</v>
      </c>
      <c r="D6" s="2">
        <f t="shared" ref="D6:G6" si="0">IF($B$18="",D3, $B$19+($B$18-D3)/100)</f>
        <v>32</v>
      </c>
      <c r="E6" s="2">
        <f t="shared" si="0"/>
        <v>33</v>
      </c>
      <c r="F6" s="2">
        <f t="shared" si="0"/>
        <v>34</v>
      </c>
      <c r="G6" s="2">
        <f t="shared" si="0"/>
        <v>35</v>
      </c>
      <c r="H6" s="2"/>
      <c r="I6" s="2"/>
    </row>
    <row r="7" spans="1:11">
      <c r="B7" s="1" t="s">
        <v>38</v>
      </c>
      <c r="C7" s="2">
        <f t="shared" ref="C7:F7" si="1">IF(C4="",0,C6-C4/100)</f>
        <v>30.6</v>
      </c>
      <c r="D7" s="2">
        <f t="shared" si="1"/>
        <v>31.6</v>
      </c>
      <c r="E7" s="2">
        <f t="shared" si="1"/>
        <v>32.6</v>
      </c>
      <c r="F7" s="2">
        <f t="shared" si="1"/>
        <v>33.6</v>
      </c>
      <c r="G7" s="2">
        <f>IF(G4="",0,G6-G4/100)</f>
        <v>34.6</v>
      </c>
      <c r="H7" s="2"/>
      <c r="I7" s="2"/>
    </row>
    <row r="8" spans="1:11">
      <c r="B8" s="1" t="s">
        <v>36</v>
      </c>
      <c r="C8" s="2">
        <f>IF(C13="",0,(C13/$D$26)+$B$21)</f>
        <v>30.6</v>
      </c>
      <c r="D8" s="2">
        <f>IF(D13="",0,(D13/$D$26)+$B$21)</f>
        <v>31.6</v>
      </c>
      <c r="E8" s="2">
        <f>IF(E13="",0,(E13/$D$26)+$B$21)</f>
        <v>32.6</v>
      </c>
      <c r="F8" s="2">
        <f>IF(F13="",0,(F13/$D$26)+$B$21)</f>
        <v>33.6</v>
      </c>
      <c r="G8" s="2">
        <f>IF(G13="",0,(G13/$D$26)+$B$21)</f>
        <v>34.6</v>
      </c>
      <c r="H8" s="2"/>
      <c r="I8" s="2"/>
    </row>
    <row r="9" spans="1:11">
      <c r="B9" s="1" t="s">
        <v>37</v>
      </c>
      <c r="C9" s="2">
        <f>IF(C13="",0,C6-$B$22-C8)</f>
        <v>0.25</v>
      </c>
      <c r="D9" s="2">
        <f>IF(D13="",0,D6-$B$22-D8)</f>
        <v>0.25</v>
      </c>
      <c r="E9" s="2">
        <f>IF(E13="",0,E6-$B$22-E8)</f>
        <v>0.25</v>
      </c>
      <c r="F9" s="2">
        <f>IF(F13="",0,F6-$B$22-F8)</f>
        <v>0.25</v>
      </c>
      <c r="G9" s="2">
        <f>IF(G13="",0,G6-$B$22-G8)</f>
        <v>0.25</v>
      </c>
      <c r="H9" s="2"/>
      <c r="I9" s="2"/>
    </row>
    <row r="10" spans="1:11">
      <c r="C10" s="2"/>
      <c r="D10" s="2"/>
      <c r="E10" s="2"/>
      <c r="F10" s="2"/>
      <c r="G10" s="2"/>
      <c r="H10" s="2"/>
      <c r="I10" s="2"/>
    </row>
    <row r="11" spans="1:11">
      <c r="A11" s="1" t="s">
        <v>4</v>
      </c>
      <c r="B11" s="1" t="s">
        <v>33</v>
      </c>
      <c r="C11" s="2">
        <f>(C6-$B$21)*$D$26</f>
        <v>20</v>
      </c>
      <c r="D11" s="2">
        <f>(D6-$B$21)*$D$26</f>
        <v>40</v>
      </c>
      <c r="E11" s="2">
        <f>(E6-$B$21)*$D$26</f>
        <v>60</v>
      </c>
      <c r="F11" s="2">
        <f>(F6-$B$21)*$D$26</f>
        <v>80</v>
      </c>
      <c r="G11" s="2">
        <f>(G6-$B$21)*$D$26</f>
        <v>100</v>
      </c>
      <c r="H11" s="2"/>
      <c r="I11" s="2"/>
    </row>
    <row r="12" spans="1:11">
      <c r="B12" s="1" t="s">
        <v>34</v>
      </c>
      <c r="C12" s="2">
        <f>IF(C4="","",(C6-C4/100-$B$21)*$D$26)</f>
        <v>12.000000000000028</v>
      </c>
      <c r="D12" s="2">
        <f>IF(D4="","",(D6-D4/100-$B$21)*$D$26)</f>
        <v>32.000000000000028</v>
      </c>
      <c r="E12" s="2">
        <f>IF(E4="","",(E6-E4/100-$B$21)*$D$26)</f>
        <v>52.000000000000028</v>
      </c>
      <c r="F12" s="2">
        <f>IF(F4="","",(F6-F4/100-$B$21)*$D$26)</f>
        <v>72.000000000000028</v>
      </c>
      <c r="G12" s="2">
        <f>IF(G4="","",(G6-G4/100-$B$21)*$D$26)</f>
        <v>92.000000000000028</v>
      </c>
      <c r="H12" s="2"/>
      <c r="I12" s="2"/>
    </row>
    <row r="13" spans="1:11">
      <c r="B13" s="1" t="s">
        <v>35</v>
      </c>
      <c r="C13" s="3">
        <f>C12</f>
        <v>12.000000000000028</v>
      </c>
      <c r="D13" s="3">
        <f>D12</f>
        <v>32.000000000000028</v>
      </c>
      <c r="E13" s="3">
        <f>E12</f>
        <v>52.000000000000028</v>
      </c>
      <c r="F13" s="3">
        <f>F12</f>
        <v>72.000000000000028</v>
      </c>
      <c r="G13" s="3">
        <f>G12</f>
        <v>92.000000000000028</v>
      </c>
      <c r="H13" s="3"/>
      <c r="I13" s="3"/>
    </row>
    <row r="14" spans="1:11">
      <c r="C14" s="2"/>
      <c r="D14" s="2"/>
      <c r="E14" s="2"/>
      <c r="F14" s="2"/>
      <c r="G14" s="2"/>
      <c r="H14" s="2"/>
      <c r="I14" s="2"/>
    </row>
    <row r="15" spans="1:11">
      <c r="A15" s="1" t="s">
        <v>3</v>
      </c>
      <c r="B15" s="1" t="s">
        <v>39</v>
      </c>
      <c r="C15" s="2">
        <f t="shared" ref="C15:F15" si="2">IF(C4="",0,IF((C6-$B$22-C7)&lt;0,0,C6-$B$22-C7))</f>
        <v>0.25</v>
      </c>
      <c r="D15" s="2">
        <f t="shared" si="2"/>
        <v>0.25</v>
      </c>
      <c r="E15" s="2">
        <f t="shared" si="2"/>
        <v>0.25</v>
      </c>
      <c r="F15" s="2">
        <f t="shared" si="2"/>
        <v>0.25</v>
      </c>
      <c r="G15" s="2">
        <f>IF(G4="",0,IF((G6-$B$22-G7)&lt;0,0,G6-$B$22-G7))</f>
        <v>0.25</v>
      </c>
      <c r="H15" s="2"/>
      <c r="I15" s="2"/>
      <c r="K15" s="2"/>
    </row>
    <row r="16" spans="1:11">
      <c r="C16" s="2"/>
      <c r="D16" s="2"/>
      <c r="E16" s="2"/>
      <c r="F16" s="2"/>
      <c r="G16" s="2"/>
    </row>
    <row r="17" spans="1:14">
      <c r="A17" s="1" t="s">
        <v>6</v>
      </c>
      <c r="N17" s="4"/>
    </row>
    <row r="18" spans="1:14">
      <c r="A18" s="1" t="s">
        <v>42</v>
      </c>
      <c r="B18" s="16"/>
      <c r="C18" s="4" t="s">
        <v>44</v>
      </c>
      <c r="N18" s="4"/>
    </row>
    <row r="19" spans="1:14">
      <c r="A19" s="1" t="s">
        <v>43</v>
      </c>
      <c r="B19" s="16"/>
      <c r="C19" s="4" t="s">
        <v>44</v>
      </c>
      <c r="F19" s="5"/>
      <c r="N19" s="4"/>
    </row>
    <row r="20" spans="1:14">
      <c r="F20" s="4"/>
      <c r="N20" s="4"/>
    </row>
    <row r="21" spans="1:14">
      <c r="A21" s="1" t="s">
        <v>10</v>
      </c>
      <c r="B21" s="10">
        <f>ROUND(C6,0)-1</f>
        <v>30</v>
      </c>
      <c r="C21" s="13"/>
      <c r="N21" s="4"/>
    </row>
    <row r="22" spans="1:14">
      <c r="A22" s="1" t="s">
        <v>12</v>
      </c>
      <c r="B22" s="8">
        <v>0.15</v>
      </c>
      <c r="G22" s="11"/>
      <c r="H22" s="12"/>
      <c r="I22" s="12"/>
      <c r="J22" s="12"/>
      <c r="K22" s="12"/>
      <c r="L22" s="4"/>
      <c r="M22" s="4"/>
      <c r="N22" s="4"/>
    </row>
    <row r="23" spans="1:14">
      <c r="E23" s="4" t="s">
        <v>14</v>
      </c>
      <c r="F23" s="1" t="s">
        <v>15</v>
      </c>
      <c r="G23" s="1" t="s">
        <v>16</v>
      </c>
      <c r="H23" s="1" t="s">
        <v>17</v>
      </c>
      <c r="I23" s="1" t="s">
        <v>18</v>
      </c>
      <c r="J23" s="1" t="s">
        <v>28</v>
      </c>
      <c r="L23" s="4"/>
      <c r="M23" s="4"/>
      <c r="N23" s="4"/>
    </row>
    <row r="24" spans="1:14">
      <c r="A24" s="1" t="s">
        <v>11</v>
      </c>
      <c r="B24" s="6" t="s">
        <v>40</v>
      </c>
      <c r="C24" s="1" t="s">
        <v>45</v>
      </c>
      <c r="D24" s="2">
        <f t="array" ref="D24">MAX(C7:ZZ7) - MIN(IF(C7:ZZ7&gt;0, C7:ZZ7))</f>
        <v>4</v>
      </c>
      <c r="E24" s="1" t="str">
        <f>IF(D24=0,"1:50",IF($D$24&lt;5,"1:50",IF($D$24&lt;10,"1:100",IF($D$24&lt;20,"1:200",IF($D$24&lt;50,"1:500","1:1000")))))</f>
        <v>1:50</v>
      </c>
      <c r="F24" s="11" t="s">
        <v>23</v>
      </c>
      <c r="G24" s="12" t="s">
        <v>24</v>
      </c>
      <c r="H24" s="12" t="s">
        <v>25</v>
      </c>
      <c r="I24" s="12" t="s">
        <v>26</v>
      </c>
      <c r="J24" s="12" t="s">
        <v>27</v>
      </c>
      <c r="L24" s="4"/>
      <c r="M24" s="4"/>
      <c r="N24" s="4"/>
    </row>
    <row r="25" spans="1:14">
      <c r="A25" s="1" t="s">
        <v>13</v>
      </c>
      <c r="B25" s="6" t="s">
        <v>41</v>
      </c>
      <c r="C25" s="1" t="s">
        <v>46</v>
      </c>
      <c r="D25" s="2">
        <f>MAX(C2:ZZ2)</f>
        <v>20</v>
      </c>
      <c r="E25" s="1" t="str">
        <f>IF(D25=0,"1:50",IF($D$25&lt;15,"1:50",IF($D$25&lt;30,"1:100",IF($D$25&lt;60,"1:200",IF($D$25&lt;150,"1:500","1:1000")))))</f>
        <v>1:100</v>
      </c>
      <c r="F25" s="11" t="s">
        <v>23</v>
      </c>
      <c r="G25" s="12" t="s">
        <v>24</v>
      </c>
      <c r="H25" s="12" t="s">
        <v>25</v>
      </c>
      <c r="I25" s="12" t="s">
        <v>26</v>
      </c>
      <c r="J25" s="12" t="s">
        <v>27</v>
      </c>
      <c r="K25" s="12"/>
    </row>
    <row r="26" spans="1:14">
      <c r="C26" s="1" t="s">
        <v>47</v>
      </c>
      <c r="D26" s="7">
        <f>IF($B$24="1/50",20,IF($B$24="1/100",10,IF($B$24="1/200",5,IF($B$24="1/500",2,IF($B$24="1/1000", 1,)))))</f>
        <v>20</v>
      </c>
      <c r="F26" s="1" t="s">
        <v>19</v>
      </c>
      <c r="G26" s="1" t="s">
        <v>20</v>
      </c>
      <c r="H26" s="1" t="s">
        <v>21</v>
      </c>
      <c r="I26" s="1" t="s">
        <v>22</v>
      </c>
      <c r="J26" s="1" t="s">
        <v>29</v>
      </c>
    </row>
    <row r="27" spans="1:14">
      <c r="A27" s="1" t="s">
        <v>0</v>
      </c>
      <c r="B27" s="9">
        <f>ABS(C7-LOOKUP(2,1/(C7:ZZ7&gt;0), C7:ZZ7))/D25</f>
        <v>0.2</v>
      </c>
      <c r="D27" s="7"/>
      <c r="F27" s="4"/>
      <c r="G27" s="4"/>
    </row>
    <row r="28" spans="1:14">
      <c r="A28" s="1" t="s">
        <v>1</v>
      </c>
      <c r="B28" s="9">
        <f>ABS(C8-LOOKUP(2,1/(C7:ZZ7&gt;0), C7:ZZ7))/D25</f>
        <v>0.2</v>
      </c>
      <c r="F28" s="2"/>
      <c r="G28" s="2"/>
    </row>
    <row r="29" spans="1:14">
      <c r="A29" s="1" t="s">
        <v>5</v>
      </c>
      <c r="B29" s="4" t="str">
        <f t="array" ref="B29">ROUNDDOWN((ROUND(MAX(C9:ZZ9),2)+ROUND(MIN(IF(C9:ZZ9&gt;0, C9:ZZ9)),2))/2,2)&amp;"m["&amp;ROUND(MIN(IF(C9:ZZ9&gt;0, C9:ZZ9)),2)*100&amp;"cm~"&amp;ROUND(MAX(C9:ZZ9),2)*100&amp;"cm]"</f>
        <v>0.25m[25cm~25cm]</v>
      </c>
    </row>
    <row r="31" spans="1:14">
      <c r="A31" s="4"/>
      <c r="E31" s="4"/>
    </row>
    <row r="32" spans="1:14">
      <c r="E32" s="4"/>
    </row>
    <row r="33" spans="1:5">
      <c r="A33" s="4"/>
      <c r="E33" s="4"/>
    </row>
  </sheetData>
  <phoneticPr fontId="1" type="noConversion"/>
  <dataValidations disablePrompts="1" count="3">
    <dataValidation allowBlank="1" showErrorMessage="1" sqref="D22 E24:E25" xr:uid="{7DF092B9-A51B-4DF7-97AE-2CBD13838CDC}"/>
    <dataValidation type="list" allowBlank="1" showInputMessage="1" showErrorMessage="1" errorTitle="無效的項目" error="請從清單中選取「頂板厚度」" promptTitle="頂板厚度" prompt="請從清單中選取「頂板厚度」" sqref="B22" xr:uid="{269AB7A8-F279-4019-8681-E22311D94BFB}">
      <formula1>"0.13, 0.15"</formula1>
    </dataValidation>
    <dataValidation type="list" allowBlank="1" showInputMessage="1" showErrorMessage="1" errorTitle="無效的項目" error="請從清單中選取「垂直」比例" promptTitle="垂直比例" prompt="請從清單中選取「垂直」比例" sqref="B24:B25" xr:uid="{E9EFF31C-59D6-4BAB-9C77-934A26D0C780}">
      <formula1>"1/50, 1/100, 1/200, 1/500, 1/1000"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user10527</dc:creator>
  <cp:lastModifiedBy>user10527</cp:lastModifiedBy>
  <dcterms:created xsi:type="dcterms:W3CDTF">2025-05-01T01:18:01Z</dcterms:created>
  <dcterms:modified xsi:type="dcterms:W3CDTF">2026-01-06T09:30:52Z</dcterms:modified>
</cp:coreProperties>
</file>